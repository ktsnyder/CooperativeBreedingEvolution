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/Desktop/CooperativeBreedingEvolution/"/>
    </mc:Choice>
  </mc:AlternateContent>
  <xr:revisionPtr revIDLastSave="0" documentId="13_ncr:1_{BBA06204-9395-BB49-9051-A6AB02438A94}" xr6:coauthVersionLast="47" xr6:coauthVersionMax="47" xr10:uidLastSave="{00000000-0000-0000-0000-000000000000}"/>
  <bookViews>
    <workbookView xWindow="54260" yWindow="-5040" windowWidth="19980" windowHeight="21100" activeTab="1" xr2:uid="{71CE8E00-C305-694E-BEE7-3298B4D311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0" i="1" l="1"/>
  <c r="S30" i="1"/>
  <c r="T29" i="1"/>
  <c r="S29" i="1"/>
  <c r="T22" i="1"/>
  <c r="S22" i="1"/>
  <c r="T21" i="1"/>
  <c r="S21" i="1"/>
  <c r="T12" i="1"/>
  <c r="S12" i="1"/>
  <c r="T11" i="1"/>
  <c r="S11" i="1"/>
  <c r="S4" i="1"/>
  <c r="T4" i="1"/>
  <c r="T3" i="1"/>
  <c r="S3" i="1"/>
  <c r="Q30" i="1"/>
  <c r="P30" i="1"/>
  <c r="Q29" i="1"/>
  <c r="P29" i="1"/>
  <c r="Q22" i="1"/>
  <c r="P22" i="1"/>
  <c r="Q21" i="1"/>
  <c r="P21" i="1"/>
  <c r="Q12" i="1"/>
  <c r="P12" i="1"/>
  <c r="Q11" i="1"/>
  <c r="P11" i="1"/>
  <c r="P4" i="1"/>
  <c r="Q4" i="1"/>
  <c r="Q3" i="1"/>
  <c r="P3" i="1"/>
  <c r="N31" i="1"/>
  <c r="N23" i="1"/>
  <c r="N13" i="1"/>
  <c r="N5" i="1"/>
  <c r="M30" i="1"/>
  <c r="L30" i="1"/>
  <c r="M29" i="1"/>
  <c r="L29" i="1"/>
  <c r="M22" i="1"/>
  <c r="L22" i="1"/>
  <c r="M21" i="1"/>
  <c r="L21" i="1"/>
  <c r="M12" i="1"/>
  <c r="L12" i="1"/>
  <c r="M11" i="1"/>
  <c r="L11" i="1"/>
  <c r="M4" i="1"/>
  <c r="M3" i="1"/>
  <c r="L4" i="1"/>
  <c r="L3" i="1"/>
  <c r="J30" i="1"/>
  <c r="I30" i="1"/>
  <c r="J29" i="1"/>
  <c r="I29" i="1"/>
  <c r="J22" i="1"/>
  <c r="I22" i="1"/>
  <c r="J21" i="1"/>
  <c r="I21" i="1"/>
  <c r="J12" i="1"/>
  <c r="I12" i="1"/>
  <c r="J11" i="1"/>
  <c r="I11" i="1"/>
  <c r="J4" i="1"/>
  <c r="J3" i="1"/>
  <c r="I4" i="1"/>
  <c r="I3" i="1"/>
  <c r="E32" i="1"/>
  <c r="D32" i="1"/>
  <c r="E24" i="1"/>
  <c r="D24" i="1"/>
  <c r="E14" i="1"/>
  <c r="D14" i="1"/>
  <c r="G30" i="1"/>
  <c r="G29" i="1"/>
  <c r="G22" i="1"/>
  <c r="G21" i="1"/>
  <c r="G12" i="1"/>
  <c r="G11" i="1"/>
  <c r="E6" i="1"/>
  <c r="D6" i="1"/>
  <c r="G4" i="1"/>
  <c r="F4" i="1"/>
  <c r="G3" i="1"/>
  <c r="E31" i="1"/>
  <c r="D31" i="1"/>
  <c r="E23" i="1"/>
  <c r="D23" i="1"/>
  <c r="F31" i="1"/>
  <c r="F30" i="1"/>
  <c r="F29" i="1"/>
  <c r="F23" i="1"/>
  <c r="F22" i="1"/>
  <c r="F21" i="1"/>
  <c r="F12" i="1"/>
  <c r="F11" i="1"/>
  <c r="F13" i="1"/>
  <c r="E13" i="1"/>
  <c r="D13" i="1"/>
  <c r="F3" i="1"/>
  <c r="E5" i="1"/>
  <c r="D5" i="1"/>
  <c r="F5" i="1"/>
</calcChain>
</file>

<file path=xl/sharedStrings.xml><?xml version="1.0" encoding="utf-8"?>
<sst xmlns="http://schemas.openxmlformats.org/spreadsheetml/2006/main" count="78" uniqueCount="13">
  <si>
    <t>Weak</t>
  </si>
  <si>
    <t>Female Song Absent</t>
  </si>
  <si>
    <t>Female Song Present</t>
  </si>
  <si>
    <t>Non-cooperative</t>
  </si>
  <si>
    <t>Cooperative</t>
  </si>
  <si>
    <t>Strong</t>
  </si>
  <si>
    <t>Territory 1 or 2</t>
  </si>
  <si>
    <t>Territory 3</t>
  </si>
  <si>
    <t>Expected absolute</t>
  </si>
  <si>
    <t>Expected relative</t>
  </si>
  <si>
    <t>Diff</t>
  </si>
  <si>
    <t>O-E/E</t>
  </si>
  <si>
    <t>Observed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</si>
</sst>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350-928E-0D44-ACB7-44792458F3C4}">
  <dimension ref="B1:T32"/>
  <sheetViews>
    <sheetView topLeftCell="B1" zoomScale="75" workbookViewId="0">
      <selection activeCell="L3" sqref="L3"/>
    </sheetView>
  </sheetViews>
  <sheetFormatPr baseColWidth="10" defaultRowHeight="16" x14ac:dyDescent="0.2"/>
  <cols>
    <col min="3" max="3" width="19.1640625" customWidth="1"/>
  </cols>
  <sheetData>
    <row r="1" spans="2:20" x14ac:dyDescent="0.2">
      <c r="I1" t="s">
        <v>9</v>
      </c>
      <c r="L1" t="s">
        <v>8</v>
      </c>
      <c r="P1" t="s">
        <v>10</v>
      </c>
      <c r="S1" t="s">
        <v>11</v>
      </c>
    </row>
    <row r="2" spans="2:20" x14ac:dyDescent="0.2">
      <c r="B2" t="s">
        <v>0</v>
      </c>
      <c r="C2" t="s">
        <v>0</v>
      </c>
      <c r="D2" t="s">
        <v>3</v>
      </c>
      <c r="E2" t="s">
        <v>4</v>
      </c>
      <c r="R2" t="s">
        <v>0</v>
      </c>
      <c r="S2" t="s">
        <v>3</v>
      </c>
      <c r="T2" t="s">
        <v>4</v>
      </c>
    </row>
    <row r="3" spans="2:20" x14ac:dyDescent="0.2">
      <c r="C3" t="s">
        <v>1</v>
      </c>
      <c r="D3" s="1">
        <v>101</v>
      </c>
      <c r="E3">
        <v>3</v>
      </c>
      <c r="F3">
        <f>SUM(D3:E3)</f>
        <v>104</v>
      </c>
      <c r="G3">
        <f>F3/F5</f>
        <v>0.61176470588235299</v>
      </c>
      <c r="I3">
        <f>D6*G3</f>
        <v>0.56498269896193776</v>
      </c>
      <c r="J3">
        <f>E6*G3</f>
        <v>4.6782006920415231E-2</v>
      </c>
      <c r="L3">
        <f>F5*I3</f>
        <v>96.047058823529426</v>
      </c>
      <c r="M3">
        <f>F5*J3</f>
        <v>7.9529411764705893</v>
      </c>
      <c r="P3">
        <f>D3-L3</f>
        <v>4.9529411764705742</v>
      </c>
      <c r="Q3">
        <f>E3-M3</f>
        <v>-4.9529411764705893</v>
      </c>
      <c r="R3" t="s">
        <v>1</v>
      </c>
      <c r="S3">
        <f>P3/L3</f>
        <v>5.1567858892699506E-2</v>
      </c>
      <c r="T3">
        <f>Q3/M3</f>
        <v>-0.62278106508875741</v>
      </c>
    </row>
    <row r="4" spans="2:20" x14ac:dyDescent="0.2">
      <c r="C4" t="s">
        <v>2</v>
      </c>
      <c r="D4">
        <v>56</v>
      </c>
      <c r="E4" s="1">
        <v>10</v>
      </c>
      <c r="F4">
        <f>SUM(D4:E4)</f>
        <v>66</v>
      </c>
      <c r="G4">
        <f>F4/F5</f>
        <v>0.38823529411764707</v>
      </c>
      <c r="I4">
        <f>D6*G4</f>
        <v>0.35854671280276817</v>
      </c>
      <c r="J4">
        <f>E6*G4</f>
        <v>2.9688581314878896E-2</v>
      </c>
      <c r="L4">
        <f>F5*I4</f>
        <v>60.952941176470588</v>
      </c>
      <c r="M4">
        <f>F5*J4</f>
        <v>5.0470588235294125</v>
      </c>
      <c r="P4">
        <f>D4-L4</f>
        <v>-4.9529411764705884</v>
      </c>
      <c r="Q4">
        <f>E4-M4</f>
        <v>4.9529411764705875</v>
      </c>
      <c r="R4" t="s">
        <v>2</v>
      </c>
      <c r="S4">
        <f>P4/L4</f>
        <v>-8.125844431576916E-2</v>
      </c>
      <c r="T4">
        <f>Q4/M4</f>
        <v>0.9813519813519811</v>
      </c>
    </row>
    <row r="5" spans="2:20" x14ac:dyDescent="0.2">
      <c r="D5">
        <f>SUM(D3:D4)</f>
        <v>157</v>
      </c>
      <c r="E5">
        <f>SUM(E3:E4)</f>
        <v>13</v>
      </c>
      <c r="F5">
        <f>SUM(D3:E4)</f>
        <v>170</v>
      </c>
      <c r="N5">
        <f>SUM(L3:M4)</f>
        <v>170.00000000000003</v>
      </c>
    </row>
    <row r="6" spans="2:20" x14ac:dyDescent="0.2">
      <c r="D6">
        <f>D5/F5</f>
        <v>0.92352941176470593</v>
      </c>
      <c r="E6">
        <f>E5/F5</f>
        <v>7.6470588235294124E-2</v>
      </c>
    </row>
    <row r="10" spans="2:20" x14ac:dyDescent="0.2">
      <c r="B10" t="s">
        <v>5</v>
      </c>
      <c r="C10" t="s">
        <v>5</v>
      </c>
      <c r="D10" t="s">
        <v>3</v>
      </c>
      <c r="E10" t="s">
        <v>4</v>
      </c>
      <c r="R10" t="s">
        <v>5</v>
      </c>
      <c r="S10" t="s">
        <v>3</v>
      </c>
      <c r="T10" t="s">
        <v>4</v>
      </c>
    </row>
    <row r="11" spans="2:20" x14ac:dyDescent="0.2">
      <c r="C11" t="s">
        <v>1</v>
      </c>
      <c r="D11" s="1">
        <v>172</v>
      </c>
      <c r="E11">
        <v>20</v>
      </c>
      <c r="F11">
        <f>SUM(D11:E11)</f>
        <v>192</v>
      </c>
      <c r="G11">
        <f>F11/F13</f>
        <v>0.2723404255319149</v>
      </c>
      <c r="I11">
        <f>D14*G11</f>
        <v>0.23062019013128113</v>
      </c>
      <c r="J11">
        <f>E14*G11</f>
        <v>4.1720235400633771E-2</v>
      </c>
      <c r="L11">
        <f>F13*I11</f>
        <v>162.58723404255321</v>
      </c>
      <c r="M11">
        <f>F13*J11</f>
        <v>29.412765957446808</v>
      </c>
      <c r="P11">
        <f>D11-L11</f>
        <v>9.4127659574467941</v>
      </c>
      <c r="Q11">
        <f>E11-M11</f>
        <v>-9.4127659574468083</v>
      </c>
      <c r="R11" t="s">
        <v>1</v>
      </c>
      <c r="S11">
        <f>P11/L11</f>
        <v>5.7893634840870928E-2</v>
      </c>
      <c r="T11">
        <f>Q11/M11</f>
        <v>-0.32002314814814814</v>
      </c>
    </row>
    <row r="12" spans="2:20" x14ac:dyDescent="0.2">
      <c r="C12" t="s">
        <v>2</v>
      </c>
      <c r="D12">
        <v>425</v>
      </c>
      <c r="E12" s="1">
        <v>88</v>
      </c>
      <c r="F12">
        <f>SUM(D12:E12)</f>
        <v>513</v>
      </c>
      <c r="G12">
        <f>F12/F13</f>
        <v>0.72765957446808516</v>
      </c>
      <c r="I12">
        <f>D14*G12</f>
        <v>0.61618832050701677</v>
      </c>
      <c r="J12">
        <f>E14*G12</f>
        <v>0.11147125396106837</v>
      </c>
      <c r="L12">
        <f>F13*I12</f>
        <v>434.41276595744682</v>
      </c>
      <c r="M12">
        <f>F13*J12</f>
        <v>78.587234042553206</v>
      </c>
      <c r="P12">
        <f>D12-L12</f>
        <v>-9.4127659574468225</v>
      </c>
      <c r="Q12">
        <f>E12-M12</f>
        <v>9.4127659574467941</v>
      </c>
      <c r="R12" t="s">
        <v>2</v>
      </c>
      <c r="S12">
        <f>P12/L12</f>
        <v>-2.1667793156817255E-2</v>
      </c>
      <c r="T12">
        <f>Q12/M12</f>
        <v>0.11977474550573945</v>
      </c>
    </row>
    <row r="13" spans="2:20" x14ac:dyDescent="0.2">
      <c r="D13">
        <f>SUM(D11:D12)</f>
        <v>597</v>
      </c>
      <c r="E13">
        <f>SUM(E11:E12)</f>
        <v>108</v>
      </c>
      <c r="F13">
        <f>SUM(D11:E12)</f>
        <v>705</v>
      </c>
      <c r="N13">
        <f>SUM(L11:M12)</f>
        <v>705</v>
      </c>
    </row>
    <row r="14" spans="2:20" x14ac:dyDescent="0.2">
      <c r="D14">
        <f>D13/F13</f>
        <v>0.84680851063829787</v>
      </c>
      <c r="E14">
        <f>E13/F13</f>
        <v>0.15319148936170213</v>
      </c>
    </row>
    <row r="20" spans="2:20" x14ac:dyDescent="0.2">
      <c r="B20" t="s">
        <v>6</v>
      </c>
      <c r="C20" t="s">
        <v>6</v>
      </c>
      <c r="D20" t="s">
        <v>3</v>
      </c>
      <c r="E20" t="s">
        <v>4</v>
      </c>
      <c r="R20" t="s">
        <v>6</v>
      </c>
      <c r="S20" t="s">
        <v>3</v>
      </c>
      <c r="T20" t="s">
        <v>4</v>
      </c>
    </row>
    <row r="21" spans="2:20" x14ac:dyDescent="0.2">
      <c r="C21" t="s">
        <v>1</v>
      </c>
      <c r="D21">
        <v>322</v>
      </c>
      <c r="E21">
        <v>15</v>
      </c>
      <c r="F21">
        <f>SUM(D21:E21)</f>
        <v>337</v>
      </c>
      <c r="G21">
        <f>F21/F23</f>
        <v>0.52904238618524335</v>
      </c>
      <c r="I21">
        <f>D24*G21</f>
        <v>0.49748255780998552</v>
      </c>
      <c r="J21">
        <f>E24*G21</f>
        <v>3.1559828375257844E-2</v>
      </c>
      <c r="L21">
        <f>F23*I21</f>
        <v>316.89638932496075</v>
      </c>
      <c r="M21">
        <f>F23*J21</f>
        <v>20.103610675039246</v>
      </c>
      <c r="P21">
        <f>D21-L21</f>
        <v>5.1036106750392491</v>
      </c>
      <c r="Q21">
        <f>E21-M21</f>
        <v>-5.1036106750392456</v>
      </c>
      <c r="R21" t="s">
        <v>1</v>
      </c>
      <c r="S21">
        <f>P21/L21</f>
        <v>1.6104982091814754E-2</v>
      </c>
      <c r="T21">
        <f>Q21/M21</f>
        <v>-0.25386537560518502</v>
      </c>
    </row>
    <row r="22" spans="2:20" x14ac:dyDescent="0.2">
      <c r="C22" t="s">
        <v>2</v>
      </c>
      <c r="D22">
        <v>277</v>
      </c>
      <c r="E22">
        <v>23</v>
      </c>
      <c r="F22">
        <f>SUM(D22:E22)</f>
        <v>300</v>
      </c>
      <c r="G22">
        <f>F22/F23</f>
        <v>0.47095761381475665</v>
      </c>
      <c r="I22">
        <f>D24*G22</f>
        <v>0.44286281110681203</v>
      </c>
      <c r="J22">
        <f>E24*G22</f>
        <v>2.8094802707944667E-2</v>
      </c>
      <c r="L22">
        <f>F23*I22</f>
        <v>282.10361067503925</v>
      </c>
      <c r="M22">
        <f>F23*J22</f>
        <v>17.896389324960754</v>
      </c>
      <c r="P22">
        <f>D22-L22</f>
        <v>-5.1036106750392491</v>
      </c>
      <c r="Q22">
        <f>E22-M22</f>
        <v>5.1036106750392456</v>
      </c>
      <c r="R22" t="s">
        <v>2</v>
      </c>
      <c r="S22">
        <f>P22/L22</f>
        <v>-1.8091263216471906E-2</v>
      </c>
      <c r="T22">
        <f>Q22/M22</f>
        <v>0.28517543859649114</v>
      </c>
    </row>
    <row r="23" spans="2:20" x14ac:dyDescent="0.2">
      <c r="D23">
        <f>SUM(D21:D22)</f>
        <v>599</v>
      </c>
      <c r="E23">
        <f>SUM(E21:E22)</f>
        <v>38</v>
      </c>
      <c r="F23">
        <f>SUM(D21:E22)</f>
        <v>637</v>
      </c>
      <c r="N23">
        <f>SUM(L21:M22)</f>
        <v>637</v>
      </c>
    </row>
    <row r="24" spans="2:20" x14ac:dyDescent="0.2">
      <c r="D24">
        <f>D23/F23</f>
        <v>0.94034536891679754</v>
      </c>
      <c r="E24">
        <f>E23/F23</f>
        <v>5.9654631083202514E-2</v>
      </c>
    </row>
    <row r="28" spans="2:20" x14ac:dyDescent="0.2">
      <c r="B28" t="s">
        <v>7</v>
      </c>
      <c r="C28" t="s">
        <v>7</v>
      </c>
      <c r="D28" t="s">
        <v>3</v>
      </c>
      <c r="E28" t="s">
        <v>4</v>
      </c>
      <c r="R28" t="s">
        <v>7</v>
      </c>
      <c r="S28" t="s">
        <v>3</v>
      </c>
      <c r="T28" t="s">
        <v>4</v>
      </c>
    </row>
    <row r="29" spans="2:20" x14ac:dyDescent="0.2">
      <c r="C29" t="s">
        <v>1</v>
      </c>
      <c r="D29">
        <v>36</v>
      </c>
      <c r="E29">
        <v>9</v>
      </c>
      <c r="F29">
        <f>SUM(D29:E29)</f>
        <v>45</v>
      </c>
      <c r="G29">
        <f>F29/F31</f>
        <v>0.11138613861386139</v>
      </c>
      <c r="I29">
        <f>D32*G29</f>
        <v>8.7399519654935795E-2</v>
      </c>
      <c r="J29">
        <f>E32*G29</f>
        <v>2.3986618958925596E-2</v>
      </c>
      <c r="L29">
        <f>F31*I29</f>
        <v>35.309405940594061</v>
      </c>
      <c r="M29">
        <f>F31*J29</f>
        <v>9.6905940594059405</v>
      </c>
      <c r="P29">
        <f>D29-L29</f>
        <v>0.69059405940593876</v>
      </c>
      <c r="Q29">
        <f>E29-M29</f>
        <v>-0.69059405940594054</v>
      </c>
      <c r="R29" t="s">
        <v>1</v>
      </c>
      <c r="S29">
        <f>P29/L29</f>
        <v>1.9558359621451051E-2</v>
      </c>
      <c r="T29">
        <f>Q29/M29</f>
        <v>-7.1264367816091953E-2</v>
      </c>
    </row>
    <row r="30" spans="2:20" x14ac:dyDescent="0.2">
      <c r="C30" t="s">
        <v>2</v>
      </c>
      <c r="D30">
        <v>281</v>
      </c>
      <c r="E30">
        <v>78</v>
      </c>
      <c r="F30">
        <f>SUM(D30:E30)</f>
        <v>359</v>
      </c>
      <c r="G30">
        <f>F30/F31</f>
        <v>0.88861386138613863</v>
      </c>
      <c r="I30">
        <f>D32*G30</f>
        <v>0.69725394569159893</v>
      </c>
      <c r="J30">
        <f>E32*G30</f>
        <v>0.19135991569453975</v>
      </c>
      <c r="L30">
        <f>F31*I30</f>
        <v>281.69059405940595</v>
      </c>
      <c r="M30">
        <f>F31*J30</f>
        <v>77.309405940594061</v>
      </c>
      <c r="P30">
        <f>D30-L30</f>
        <v>-0.69059405940595298</v>
      </c>
      <c r="Q30">
        <f>E30-M30</f>
        <v>0.69059405940593876</v>
      </c>
      <c r="R30" t="s">
        <v>2</v>
      </c>
      <c r="S30">
        <f>P30/L30</f>
        <v>-2.4516049664772017E-3</v>
      </c>
      <c r="T30">
        <f>Q30/M30</f>
        <v>8.9328594755546786E-3</v>
      </c>
    </row>
    <row r="31" spans="2:20" x14ac:dyDescent="0.2">
      <c r="D31">
        <f>SUM(D29:D30)</f>
        <v>317</v>
      </c>
      <c r="E31">
        <f>SUM(E29:E30)</f>
        <v>87</v>
      </c>
      <c r="F31">
        <f>SUM(D29:E30)</f>
        <v>404</v>
      </c>
      <c r="N31">
        <f>SUM(L29:M30)</f>
        <v>404</v>
      </c>
    </row>
    <row r="32" spans="2:20" x14ac:dyDescent="0.2">
      <c r="D32">
        <f>D31/F31</f>
        <v>0.78465346534653468</v>
      </c>
      <c r="E32">
        <f>E31/F31</f>
        <v>0.21534653465346534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D37A-2431-B648-B88F-481AC386EF4F}">
  <dimension ref="A1:G25"/>
  <sheetViews>
    <sheetView tabSelected="1" workbookViewId="0">
      <selection activeCell="G25" sqref="G25"/>
    </sheetView>
  </sheetViews>
  <sheetFormatPr baseColWidth="10" defaultRowHeight="16" x14ac:dyDescent="0.2"/>
  <sheetData>
    <row r="1" spans="1:7" x14ac:dyDescent="0.2">
      <c r="A1" t="s">
        <v>12</v>
      </c>
      <c r="E1" t="s">
        <v>11</v>
      </c>
    </row>
    <row r="3" spans="1:7" x14ac:dyDescent="0.2">
      <c r="A3" s="2" t="s">
        <v>0</v>
      </c>
      <c r="B3" s="2" t="s">
        <v>3</v>
      </c>
      <c r="C3" s="2" t="s">
        <v>4</v>
      </c>
      <c r="E3" t="s">
        <v>0</v>
      </c>
      <c r="F3" t="s">
        <v>3</v>
      </c>
      <c r="G3" t="s">
        <v>4</v>
      </c>
    </row>
    <row r="4" spans="1:7" x14ac:dyDescent="0.2">
      <c r="A4" s="2" t="s">
        <v>1</v>
      </c>
      <c r="B4" s="3">
        <v>101</v>
      </c>
      <c r="C4" s="2">
        <v>3</v>
      </c>
      <c r="E4" t="s">
        <v>1</v>
      </c>
      <c r="F4">
        <v>5.1567858892699499E-2</v>
      </c>
      <c r="G4">
        <v>-0.62278106508875741</v>
      </c>
    </row>
    <row r="5" spans="1:7" x14ac:dyDescent="0.2">
      <c r="A5" s="2" t="s">
        <v>2</v>
      </c>
      <c r="B5" s="2">
        <v>56</v>
      </c>
      <c r="C5" s="3">
        <v>10</v>
      </c>
      <c r="E5" t="s">
        <v>2</v>
      </c>
      <c r="F5">
        <v>-8.125844431576916E-2</v>
      </c>
      <c r="G5">
        <v>0.9813519813519811</v>
      </c>
    </row>
    <row r="6" spans="1:7" x14ac:dyDescent="0.2">
      <c r="A6" s="2"/>
      <c r="B6" s="2"/>
      <c r="C6" s="2"/>
    </row>
    <row r="7" spans="1:7" x14ac:dyDescent="0.2">
      <c r="A7" s="2"/>
      <c r="B7" s="2"/>
      <c r="C7" s="2"/>
    </row>
    <row r="8" spans="1:7" x14ac:dyDescent="0.2">
      <c r="A8" s="2"/>
      <c r="B8" s="2"/>
      <c r="C8" s="2"/>
    </row>
    <row r="9" spans="1:7" x14ac:dyDescent="0.2">
      <c r="A9" s="2" t="s">
        <v>5</v>
      </c>
      <c r="B9" s="2"/>
      <c r="C9" s="2"/>
      <c r="E9" t="s">
        <v>5</v>
      </c>
    </row>
    <row r="10" spans="1:7" x14ac:dyDescent="0.2">
      <c r="A10" s="2" t="s">
        <v>1</v>
      </c>
      <c r="B10" s="3">
        <v>172</v>
      </c>
      <c r="C10" s="2">
        <v>20</v>
      </c>
      <c r="E10" t="s">
        <v>1</v>
      </c>
      <c r="F10">
        <v>5.7893634840870928E-2</v>
      </c>
      <c r="G10">
        <v>-0.32002314814814814</v>
      </c>
    </row>
    <row r="11" spans="1:7" x14ac:dyDescent="0.2">
      <c r="A11" s="2" t="s">
        <v>2</v>
      </c>
      <c r="B11" s="2">
        <v>425</v>
      </c>
      <c r="C11" s="3">
        <v>88</v>
      </c>
      <c r="E11" t="s">
        <v>2</v>
      </c>
      <c r="F11">
        <v>-2.1667793156817255E-2</v>
      </c>
      <c r="G11">
        <v>0.11977474550573945</v>
      </c>
    </row>
    <row r="12" spans="1:7" x14ac:dyDescent="0.2">
      <c r="A12" s="2"/>
      <c r="B12" s="2"/>
      <c r="C12" s="2"/>
    </row>
    <row r="13" spans="1:7" x14ac:dyDescent="0.2">
      <c r="A13" s="2"/>
      <c r="B13" s="2"/>
      <c r="C13" s="2"/>
    </row>
    <row r="14" spans="1:7" x14ac:dyDescent="0.2">
      <c r="A14" s="2"/>
      <c r="B14" s="2"/>
      <c r="C14" s="2"/>
    </row>
    <row r="15" spans="1:7" x14ac:dyDescent="0.2">
      <c r="A15" s="2"/>
      <c r="B15" s="2"/>
      <c r="C15" s="2"/>
    </row>
    <row r="16" spans="1:7" x14ac:dyDescent="0.2">
      <c r="A16" s="2"/>
      <c r="B16" s="2"/>
      <c r="C16" s="2"/>
    </row>
    <row r="17" spans="1:7" x14ac:dyDescent="0.2">
      <c r="A17" s="2" t="s">
        <v>6</v>
      </c>
      <c r="B17" s="2"/>
      <c r="C17" s="2"/>
      <c r="E17" t="s">
        <v>6</v>
      </c>
    </row>
    <row r="18" spans="1:7" x14ac:dyDescent="0.2">
      <c r="A18" s="2" t="s">
        <v>1</v>
      </c>
      <c r="B18" s="2">
        <v>322</v>
      </c>
      <c r="C18" s="2">
        <v>15</v>
      </c>
      <c r="E18" t="s">
        <v>1</v>
      </c>
      <c r="F18">
        <v>1.6104982091814754E-2</v>
      </c>
      <c r="G18">
        <v>-0.25386537560518502</v>
      </c>
    </row>
    <row r="19" spans="1:7" x14ac:dyDescent="0.2">
      <c r="A19" s="2" t="s">
        <v>2</v>
      </c>
      <c r="B19" s="2">
        <v>277</v>
      </c>
      <c r="C19" s="2">
        <v>23</v>
      </c>
      <c r="E19" t="s">
        <v>2</v>
      </c>
      <c r="F19">
        <v>-1.8091263216471906E-2</v>
      </c>
      <c r="G19">
        <v>0.28517543859649114</v>
      </c>
    </row>
    <row r="20" spans="1:7" x14ac:dyDescent="0.2">
      <c r="A20" s="2"/>
      <c r="B20" s="2"/>
      <c r="C20" s="2"/>
    </row>
    <row r="21" spans="1:7" x14ac:dyDescent="0.2">
      <c r="A21" s="2"/>
      <c r="B21" s="2"/>
      <c r="C21" s="2"/>
    </row>
    <row r="22" spans="1:7" x14ac:dyDescent="0.2">
      <c r="A22" s="2"/>
      <c r="B22" s="2"/>
      <c r="C22" s="2"/>
    </row>
    <row r="23" spans="1:7" x14ac:dyDescent="0.2">
      <c r="A23" s="2" t="s">
        <v>7</v>
      </c>
      <c r="B23" s="2"/>
      <c r="C23" s="2"/>
      <c r="E23" t="s">
        <v>7</v>
      </c>
    </row>
    <row r="24" spans="1:7" x14ac:dyDescent="0.2">
      <c r="A24" s="2" t="s">
        <v>1</v>
      </c>
      <c r="B24" s="2">
        <v>36</v>
      </c>
      <c r="C24" s="2">
        <v>9</v>
      </c>
      <c r="E24" t="s">
        <v>1</v>
      </c>
      <c r="F24">
        <v>1.9558359621451051E-2</v>
      </c>
      <c r="G24">
        <v>-7.1264367816091953E-2</v>
      </c>
    </row>
    <row r="25" spans="1:7" x14ac:dyDescent="0.2">
      <c r="A25" s="2" t="s">
        <v>2</v>
      </c>
      <c r="B25" s="2">
        <v>281</v>
      </c>
      <c r="C25" s="2">
        <v>78</v>
      </c>
      <c r="E25" t="s">
        <v>2</v>
      </c>
      <c r="F25">
        <v>-2.4516049664772017E-3</v>
      </c>
      <c r="G25">
        <v>8.9328594755546786E-3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Snyder, Katherine T</dc:creator>
  <cp:lastModifiedBy>Snyder, Katherine T</cp:lastModifiedBy>
  <dcterms:created xsi:type="dcterms:W3CDTF">2025-08-04T18:14:34Z</dcterms:created>
  <dcterms:modified xsi:type="dcterms:W3CDTF">2025-08-07T16:25:32Z</dcterms:modified>
</cp:coreProperties>
</file>