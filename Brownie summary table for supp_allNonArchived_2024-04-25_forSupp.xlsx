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8_{B3C2FF43-DDB8-BD4F-8455-81F6C632CAC3}" xr6:coauthVersionLast="47" xr6:coauthVersionMax="47" xr10:uidLastSave="{00000000-0000-0000-0000-000000000000}"/>
  <bookViews>
    <workbookView xWindow="1740" yWindow="1100" windowWidth="27640" windowHeight="16940"/>
  </bookViews>
  <sheets>
    <sheet name="Brownie summary table for supp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<sst xmlns="http://schemas.openxmlformats.org/spreadsheetml/2006/main" count="184" uniqueCount="86">
  <si>
    <t>File</t>
  </si>
  <si>
    <t>DiscreteTrait</t>
  </si>
  <si>
    <t>ContinuousTrait</t>
  </si>
  <si>
    <t>Nsims</t>
  </si>
  <si>
    <t>HigherRate</t>
  </si>
  <si>
    <t>LowerRate</t>
  </si>
  <si>
    <t>FractionOfSims</t>
  </si>
  <si>
    <t>num_Significant_Pval</t>
  </si>
  <si>
    <t>2023-11-15Griesser2023.Asocial0vsSocial1Song.rep.finalHackettOscine_brownie500sim.csv</t>
  </si>
  <si>
    <t>Griesser2023.Asocial0vsSocial1</t>
  </si>
  <si>
    <t>Song.rep.final</t>
  </si>
  <si>
    <t>Pair or group sociality</t>
  </si>
  <si>
    <t>Asocial</t>
  </si>
  <si>
    <t>2024-04-25Griesser2023.Asocial0VsSocial1Syllable.rep.final_HackettOscine_brownie500sim.csv</t>
  </si>
  <si>
    <t>Griesser2023.Asocial0VsSocial1</t>
  </si>
  <si>
    <t>Syllable.rep.final</t>
  </si>
  <si>
    <t>2023-11-14Griesser2023.GroupsLargerThanPairSong.rep.final_HackettOscine_brownie500sim.csv</t>
  </si>
  <si>
    <t>Griesser2023.GroupsLargerThanPair</t>
  </si>
  <si>
    <t>Asocial or pair</t>
  </si>
  <si>
    <t>Small or large groups</t>
  </si>
  <si>
    <t>2024-04-02Griesser2023.GroupsLargerThanPairSyllable.rep.final_HackettOscine_brownie500sim.csv</t>
  </si>
  <si>
    <t>2023-11-15Griesser2023.LargestGroupSizesSong.rep.finalHackettOscine_brownie500sim.csv</t>
  </si>
  <si>
    <t>Griesser2023.LargestGroupSizes</t>
  </si>
  <si>
    <t>Large groups</t>
  </si>
  <si>
    <t>Asocial, pair, or small groups</t>
  </si>
  <si>
    <t>2024-04-25Griesser2023.LargestGroupSizesSyllable.rep.final_HackettOscine_brownie500sim.csv</t>
  </si>
  <si>
    <t>2023-11-15Griesser2023.SeasonOrLongerSocialBondsSong.rep.finalHackettOscine_brownie500sim.csv</t>
  </si>
  <si>
    <t>Griesser2023.SeasonOrLongerSocialBonds</t>
  </si>
  <si>
    <t>Season or longer social bonds</t>
  </si>
  <si>
    <t>Bonds last less than one season</t>
  </si>
  <si>
    <t>2024-04-25Griesser2023.SeasonOrLongerSocialBondsSyllable.rep.final_HackettOscine_brownie500sim.csv</t>
  </si>
  <si>
    <t>Griesser2023.LongSocialBonds</t>
  </si>
  <si>
    <t>Bonds last one season or less</t>
  </si>
  <si>
    <t>Multi-year bonds</t>
  </si>
  <si>
    <t>2023-11-15Griesser2023.LongSocialBondsSong.rep.finalHackettOscine_brownie500sim.csv</t>
  </si>
  <si>
    <t>2024-04-02Griesser2023.LongSocialBondsSyllable.rep.final_HackettOscine_brownie500sim.csv</t>
  </si>
  <si>
    <t>Griesser2017FamilialLiving</t>
  </si>
  <si>
    <t>Non-Familial Living</t>
  </si>
  <si>
    <t>Familial Living</t>
  </si>
  <si>
    <t>2023-11-15Griesser2017FamilialLivingSong.rep.finalHackettOscine_brownie500sim.csv</t>
  </si>
  <si>
    <t>2024-04-02Griesser2017FamilialLivingSyllable.rep.final_HackettOscine_brownie500sim.csv</t>
  </si>
  <si>
    <t>Griesser2023.Colonial01</t>
  </si>
  <si>
    <t>Colonial</t>
  </si>
  <si>
    <t>Non-Colonial</t>
  </si>
  <si>
    <t>2023-11-15Griesser2023.Colonial01Song.rep.finalHackettOscine_brownie500sim.csv</t>
  </si>
  <si>
    <t>2024-04-02Griesser2023.Colonial01Syllable.rep.final_HackettOscine_brownie500sim.csv</t>
  </si>
  <si>
    <t>Griesser2023.MoreThanTwoCaretakers</t>
  </si>
  <si>
    <t>Two or fewer caretakers</t>
  </si>
  <si>
    <t>More than two caretakers</t>
  </si>
  <si>
    <t>2023-11-15Griesser2023.MoreThanTwoCaretakersSong.rep.finalHackettOscine_brownie500sim.csv</t>
  </si>
  <si>
    <t>2024-04-02Griesser2023.MoreThanTwoCaretakersSyllable.rep.final_HackettOscine_brownie500sim.csv</t>
  </si>
  <si>
    <t>2024-04-25MeanCoopTie2CoopSong.rep.final_HackettOscine_brownie500sim.csv</t>
  </si>
  <si>
    <t>MeanCoopTie2Coop</t>
  </si>
  <si>
    <t>Non-Cooperative</t>
  </si>
  <si>
    <t>Cooperative</t>
  </si>
  <si>
    <t>2024-03-06MeanCoopTie2CoopSyllable.rep.finalHackettOscine_brownie500sim.csv</t>
  </si>
  <si>
    <t>Syll.song.final</t>
  </si>
  <si>
    <t>2024-04-25MeanCoopOmitTiesSong.rep.final_HackettOscine_brownie500sim.csv</t>
  </si>
  <si>
    <t>MeanCoopOmitTies</t>
  </si>
  <si>
    <t>2024-03-06MeanCoopOmitTiesSyllable.rep.finalHackettOscine_brownie500sim.csv</t>
  </si>
  <si>
    <t>2024-04-25AnyCoopEqualsCoopSong.rep.final_HackettOscine_brownie500sim.csv</t>
  </si>
  <si>
    <t>AnyCoopEqualsCoop</t>
  </si>
  <si>
    <t>2024-03-06AnyCoopEqualsCoopSyllable.rep.finalHackettOscine_brownie500sim.csv</t>
  </si>
  <si>
    <t>2024-04-25MeanCoopTie2NoncoopSong.rep.final_HackettOscine_brownie500sim.csv</t>
  </si>
  <si>
    <t>MeanCoopTie2Noncoop</t>
  </si>
  <si>
    <t>2024-03-06MeanCoopTie2NoncoopSyllable.rep.finalHackettOscine_brownie500sim.csv</t>
  </si>
  <si>
    <t>2024-02-25HighConfidence_CoopSong.rep.finalHackettOscine_brownie500sim.csv</t>
  </si>
  <si>
    <t>HighConfidence_Coop</t>
  </si>
  <si>
    <t>2024-02-26HighConfidence_CoopSong.rep.minHackettOscine_brownie500sim.csv</t>
  </si>
  <si>
    <t>Song.rep.min</t>
  </si>
  <si>
    <t>2024-02-26HighConfidence_CoopSong.rep.maxHackettOscine_brownie500sim.csv</t>
  </si>
  <si>
    <t>Song.rep.max</t>
  </si>
  <si>
    <t>2024-02-25HighConfidence_CoopSyllable.rep.finalHackettOscine_brownie500sim.csv</t>
  </si>
  <si>
    <t>2024-04-25HighConfidence_CoopSyllable.rep.min_HackettOscine_brownie500sim.csv</t>
  </si>
  <si>
    <t>Syllable.rep.min</t>
  </si>
  <si>
    <t>2024-04-25HighConfidence_CoopSyllable.rep.max_HackettOscine_brownie500sim.csv</t>
  </si>
  <si>
    <t>Syllable.rep.max</t>
  </si>
  <si>
    <t>2024-02-25HighConfidence_CoopSyll.song.finalHackettOscine_brownie500sim.csv</t>
  </si>
  <si>
    <t>2024-02-25HighConfidence_CoopDuration.finalHackettOscine_brownie500sim.csv</t>
  </si>
  <si>
    <t>Duration.final</t>
  </si>
  <si>
    <t>2024-02-25HighConfidence_CoopInterval.finalHackettOscine_brownie500sim.csv</t>
  </si>
  <si>
    <t>Interval.final</t>
  </si>
  <si>
    <t>2024-04-25AnyNoncoopEqualsNoncoopSong.rep.final_HackettOscine_brownie500sim.csv</t>
  </si>
  <si>
    <t>AnyNoncoopEqualsNoncoop</t>
  </si>
  <si>
    <t>2024-03-06AnyNoncoopEqualsNoncoopSyllable.rep.finalHackettOscine_brownie500sim.csv</t>
  </si>
  <si>
    <t>FractionSimsSignificant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</si>
</sst>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B1" sqref="B1:G36"/>
    </sheetView>
  </sheetViews>
  <sheetFormatPr baseColWidth="10" defaultRowHeight="16" x14ac:dyDescent="0.2"/>
  <cols>
    <col min="2" max="2" width="36.1640625" customWidth="1"/>
    <col min="3" max="3" width="17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85</v>
      </c>
      <c r="H1" t="s">
        <v>7</v>
      </c>
      <c r="I1" t="s">
        <v>3</v>
      </c>
    </row>
    <row r="2" spans="1:9" x14ac:dyDescent="0.2">
      <c r="A2" t="s">
        <v>66</v>
      </c>
      <c r="B2" t="s">
        <v>67</v>
      </c>
      <c r="C2" t="s">
        <v>10</v>
      </c>
      <c r="D2" t="s">
        <v>53</v>
      </c>
      <c r="E2" t="s">
        <v>54</v>
      </c>
      <c r="F2">
        <v>0.99399999999999999</v>
      </c>
      <c r="G2">
        <f>H2/I2</f>
        <v>0.56599999999999995</v>
      </c>
      <c r="H2">
        <v>283</v>
      </c>
      <c r="I2">
        <v>500</v>
      </c>
    </row>
    <row r="3" spans="1:9" x14ac:dyDescent="0.2">
      <c r="A3" t="s">
        <v>70</v>
      </c>
      <c r="B3" t="s">
        <v>67</v>
      </c>
      <c r="C3" t="s">
        <v>71</v>
      </c>
      <c r="D3" t="s">
        <v>53</v>
      </c>
      <c r="E3" t="s">
        <v>54</v>
      </c>
      <c r="F3">
        <v>0.99399999999999999</v>
      </c>
      <c r="G3">
        <f t="shared" ref="G3:G36" si="0">H3/I3</f>
        <v>0.51400000000000001</v>
      </c>
      <c r="H3">
        <v>257</v>
      </c>
      <c r="I3">
        <v>500</v>
      </c>
    </row>
    <row r="4" spans="1:9" x14ac:dyDescent="0.2">
      <c r="A4" t="s">
        <v>68</v>
      </c>
      <c r="B4" t="s">
        <v>67</v>
      </c>
      <c r="C4" t="s">
        <v>69</v>
      </c>
      <c r="D4" t="s">
        <v>53</v>
      </c>
      <c r="E4" t="s">
        <v>54</v>
      </c>
      <c r="F4">
        <v>0.99199999999999999</v>
      </c>
      <c r="G4">
        <f t="shared" si="0"/>
        <v>0.60199999999999998</v>
      </c>
      <c r="H4">
        <v>301</v>
      </c>
      <c r="I4">
        <v>500</v>
      </c>
    </row>
    <row r="5" spans="1:9" x14ac:dyDescent="0.2">
      <c r="A5" t="s">
        <v>60</v>
      </c>
      <c r="B5" t="s">
        <v>61</v>
      </c>
      <c r="C5" t="s">
        <v>10</v>
      </c>
      <c r="D5" t="s">
        <v>53</v>
      </c>
      <c r="E5" t="s">
        <v>54</v>
      </c>
      <c r="F5">
        <v>0.89</v>
      </c>
      <c r="G5">
        <f t="shared" si="0"/>
        <v>8.7999999999999995E-2</v>
      </c>
      <c r="H5">
        <v>44</v>
      </c>
      <c r="I5">
        <v>500</v>
      </c>
    </row>
    <row r="6" spans="1:9" x14ac:dyDescent="0.2">
      <c r="A6" t="s">
        <v>82</v>
      </c>
      <c r="B6" t="s">
        <v>83</v>
      </c>
      <c r="C6" t="s">
        <v>10</v>
      </c>
      <c r="D6" t="s">
        <v>53</v>
      </c>
      <c r="E6" t="s">
        <v>54</v>
      </c>
      <c r="F6">
        <v>0.99</v>
      </c>
      <c r="G6">
        <f t="shared" si="0"/>
        <v>0.58199999999999996</v>
      </c>
      <c r="H6">
        <v>291</v>
      </c>
      <c r="I6">
        <v>500</v>
      </c>
    </row>
    <row r="7" spans="1:9" x14ac:dyDescent="0.2">
      <c r="A7" t="s">
        <v>57</v>
      </c>
      <c r="B7" t="s">
        <v>58</v>
      </c>
      <c r="C7" t="s">
        <v>10</v>
      </c>
      <c r="D7" t="s">
        <v>53</v>
      </c>
      <c r="E7" t="s">
        <v>54</v>
      </c>
      <c r="F7">
        <v>0.99399999999999999</v>
      </c>
      <c r="G7">
        <f t="shared" si="0"/>
        <v>0.89800000000000002</v>
      </c>
      <c r="H7">
        <v>449</v>
      </c>
      <c r="I7">
        <v>500</v>
      </c>
    </row>
    <row r="8" spans="1:9" x14ac:dyDescent="0.2">
      <c r="A8" t="s">
        <v>51</v>
      </c>
      <c r="B8" t="s">
        <v>52</v>
      </c>
      <c r="C8" t="s">
        <v>10</v>
      </c>
      <c r="D8" t="s">
        <v>53</v>
      </c>
      <c r="E8" t="s">
        <v>54</v>
      </c>
      <c r="F8">
        <v>1</v>
      </c>
      <c r="G8">
        <f t="shared" si="0"/>
        <v>0.97599999999999998</v>
      </c>
      <c r="H8">
        <v>488</v>
      </c>
      <c r="I8">
        <v>500</v>
      </c>
    </row>
    <row r="9" spans="1:9" x14ac:dyDescent="0.2">
      <c r="A9" t="s">
        <v>63</v>
      </c>
      <c r="B9" t="s">
        <v>64</v>
      </c>
      <c r="C9" t="s">
        <v>10</v>
      </c>
      <c r="D9" t="s">
        <v>53</v>
      </c>
      <c r="E9" t="s">
        <v>54</v>
      </c>
      <c r="F9">
        <v>0.99199999999999999</v>
      </c>
      <c r="G9">
        <f t="shared" si="0"/>
        <v>0.90200000000000002</v>
      </c>
      <c r="H9">
        <v>451</v>
      </c>
      <c r="I9">
        <v>500</v>
      </c>
    </row>
    <row r="10" spans="1:9" x14ac:dyDescent="0.2">
      <c r="A10" t="s">
        <v>39</v>
      </c>
      <c r="B10" t="s">
        <v>36</v>
      </c>
      <c r="C10" t="s">
        <v>10</v>
      </c>
      <c r="D10" t="s">
        <v>37</v>
      </c>
      <c r="E10" t="s">
        <v>38</v>
      </c>
      <c r="F10">
        <v>0.998</v>
      </c>
      <c r="G10">
        <f t="shared" si="0"/>
        <v>0.876</v>
      </c>
      <c r="H10">
        <v>438</v>
      </c>
      <c r="I10">
        <v>500</v>
      </c>
    </row>
    <row r="11" spans="1:9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>
        <v>1</v>
      </c>
      <c r="G11">
        <f t="shared" si="0"/>
        <v>0.29199999999999998</v>
      </c>
      <c r="H11">
        <v>146</v>
      </c>
      <c r="I11">
        <v>500</v>
      </c>
    </row>
    <row r="12" spans="1:9" x14ac:dyDescent="0.2">
      <c r="A12" t="s">
        <v>44</v>
      </c>
      <c r="B12" t="s">
        <v>41</v>
      </c>
      <c r="C12" t="s">
        <v>10</v>
      </c>
      <c r="D12" t="s">
        <v>42</v>
      </c>
      <c r="E12" t="s">
        <v>43</v>
      </c>
      <c r="F12">
        <v>0.99</v>
      </c>
      <c r="G12">
        <f t="shared" si="0"/>
        <v>0.16200000000000001</v>
      </c>
      <c r="H12">
        <v>81</v>
      </c>
      <c r="I12">
        <v>500</v>
      </c>
    </row>
    <row r="13" spans="1:9" x14ac:dyDescent="0.2">
      <c r="A13" t="s">
        <v>16</v>
      </c>
      <c r="B13" t="s">
        <v>17</v>
      </c>
      <c r="C13" t="s">
        <v>10</v>
      </c>
      <c r="D13" t="s">
        <v>18</v>
      </c>
      <c r="E13" t="s">
        <v>19</v>
      </c>
      <c r="F13">
        <v>1</v>
      </c>
      <c r="G13">
        <f t="shared" si="0"/>
        <v>4.2000000000000003E-2</v>
      </c>
      <c r="H13">
        <v>21</v>
      </c>
      <c r="I13">
        <v>500</v>
      </c>
    </row>
    <row r="14" spans="1:9" x14ac:dyDescent="0.2">
      <c r="A14" t="s">
        <v>21</v>
      </c>
      <c r="B14" t="s">
        <v>22</v>
      </c>
      <c r="C14" t="s">
        <v>10</v>
      </c>
      <c r="D14" t="s">
        <v>23</v>
      </c>
      <c r="E14" t="s">
        <v>24</v>
      </c>
      <c r="F14">
        <v>0.53</v>
      </c>
      <c r="G14">
        <f t="shared" si="0"/>
        <v>2E-3</v>
      </c>
      <c r="H14">
        <v>1</v>
      </c>
      <c r="I14">
        <v>500</v>
      </c>
    </row>
    <row r="15" spans="1:9" x14ac:dyDescent="0.2">
      <c r="A15" t="s">
        <v>34</v>
      </c>
      <c r="B15" t="s">
        <v>31</v>
      </c>
      <c r="C15" t="s">
        <v>10</v>
      </c>
      <c r="D15" t="s">
        <v>32</v>
      </c>
      <c r="E15" t="s">
        <v>33</v>
      </c>
      <c r="F15">
        <v>1</v>
      </c>
      <c r="G15">
        <f t="shared" si="0"/>
        <v>0.754</v>
      </c>
      <c r="H15">
        <v>377</v>
      </c>
      <c r="I15">
        <v>500</v>
      </c>
    </row>
    <row r="16" spans="1:9" x14ac:dyDescent="0.2">
      <c r="A16" t="s">
        <v>49</v>
      </c>
      <c r="B16" t="s">
        <v>46</v>
      </c>
      <c r="C16" t="s">
        <v>10</v>
      </c>
      <c r="D16" t="s">
        <v>47</v>
      </c>
      <c r="E16" t="s">
        <v>48</v>
      </c>
      <c r="F16">
        <v>0.99199999999999999</v>
      </c>
      <c r="G16">
        <f t="shared" si="0"/>
        <v>0.40600000000000003</v>
      </c>
      <c r="H16">
        <v>203</v>
      </c>
      <c r="I16">
        <v>500</v>
      </c>
    </row>
    <row r="17" spans="1:9" x14ac:dyDescent="0.2">
      <c r="A17" t="s">
        <v>26</v>
      </c>
      <c r="B17" t="s">
        <v>27</v>
      </c>
      <c r="C17" t="s">
        <v>10</v>
      </c>
      <c r="D17" t="s">
        <v>28</v>
      </c>
      <c r="E17" t="s">
        <v>29</v>
      </c>
      <c r="F17">
        <v>0.59199999999999997</v>
      </c>
      <c r="G17">
        <f t="shared" si="0"/>
        <v>5.8000000000000003E-2</v>
      </c>
      <c r="H17">
        <v>29</v>
      </c>
      <c r="I17">
        <v>500</v>
      </c>
    </row>
    <row r="18" spans="1:9" x14ac:dyDescent="0.2">
      <c r="A18" t="s">
        <v>72</v>
      </c>
      <c r="B18" t="s">
        <v>67</v>
      </c>
      <c r="C18" t="s">
        <v>15</v>
      </c>
      <c r="D18" t="s">
        <v>53</v>
      </c>
      <c r="E18" t="s">
        <v>54</v>
      </c>
      <c r="F18">
        <v>0.98799999999999999</v>
      </c>
      <c r="G18">
        <f t="shared" si="0"/>
        <v>0.14799999999999999</v>
      </c>
      <c r="H18">
        <v>74</v>
      </c>
      <c r="I18">
        <v>500</v>
      </c>
    </row>
    <row r="19" spans="1:9" x14ac:dyDescent="0.2">
      <c r="A19" t="s">
        <v>75</v>
      </c>
      <c r="B19" t="s">
        <v>67</v>
      </c>
      <c r="C19" t="s">
        <v>76</v>
      </c>
      <c r="D19" t="s">
        <v>53</v>
      </c>
      <c r="E19" t="s">
        <v>54</v>
      </c>
      <c r="F19">
        <v>0.79200000000000004</v>
      </c>
      <c r="G19">
        <f t="shared" si="0"/>
        <v>0.10199999999999999</v>
      </c>
      <c r="H19">
        <v>51</v>
      </c>
      <c r="I19">
        <v>500</v>
      </c>
    </row>
    <row r="20" spans="1:9" x14ac:dyDescent="0.2">
      <c r="A20" t="s">
        <v>73</v>
      </c>
      <c r="B20" t="s">
        <v>67</v>
      </c>
      <c r="C20" t="s">
        <v>74</v>
      </c>
      <c r="D20" t="s">
        <v>53</v>
      </c>
      <c r="E20" t="s">
        <v>54</v>
      </c>
      <c r="F20">
        <v>0.99</v>
      </c>
      <c r="G20">
        <f t="shared" si="0"/>
        <v>0.14599999999999999</v>
      </c>
      <c r="H20">
        <v>73</v>
      </c>
      <c r="I20">
        <v>500</v>
      </c>
    </row>
    <row r="21" spans="1:9" x14ac:dyDescent="0.2">
      <c r="A21" t="s">
        <v>62</v>
      </c>
      <c r="B21" t="s">
        <v>61</v>
      </c>
      <c r="C21" t="s">
        <v>15</v>
      </c>
      <c r="D21" t="s">
        <v>53</v>
      </c>
      <c r="E21" t="s">
        <v>54</v>
      </c>
      <c r="F21">
        <v>0.996</v>
      </c>
      <c r="G21">
        <f t="shared" si="0"/>
        <v>0.20599999999999999</v>
      </c>
      <c r="H21">
        <v>103</v>
      </c>
      <c r="I21">
        <v>500</v>
      </c>
    </row>
    <row r="22" spans="1:9" x14ac:dyDescent="0.2">
      <c r="A22" t="s">
        <v>84</v>
      </c>
      <c r="B22" t="s">
        <v>83</v>
      </c>
      <c r="C22" t="s">
        <v>15</v>
      </c>
      <c r="D22" t="s">
        <v>53</v>
      </c>
      <c r="E22" t="s">
        <v>54</v>
      </c>
      <c r="F22">
        <v>0.97599999999999998</v>
      </c>
      <c r="G22">
        <f t="shared" si="0"/>
        <v>0.14599999999999999</v>
      </c>
      <c r="H22">
        <v>73</v>
      </c>
      <c r="I22">
        <v>500</v>
      </c>
    </row>
    <row r="23" spans="1:9" x14ac:dyDescent="0.2">
      <c r="A23" t="s">
        <v>59</v>
      </c>
      <c r="B23" t="s">
        <v>58</v>
      </c>
      <c r="C23" t="s">
        <v>15</v>
      </c>
      <c r="D23" t="s">
        <v>53</v>
      </c>
      <c r="E23" t="s">
        <v>54</v>
      </c>
      <c r="F23">
        <v>0.94799999999999995</v>
      </c>
      <c r="G23">
        <f t="shared" si="0"/>
        <v>0.1</v>
      </c>
      <c r="H23">
        <v>50</v>
      </c>
      <c r="I23">
        <v>500</v>
      </c>
    </row>
    <row r="24" spans="1:9" x14ac:dyDescent="0.2">
      <c r="A24" t="s">
        <v>55</v>
      </c>
      <c r="B24" t="s">
        <v>52</v>
      </c>
      <c r="C24" t="s">
        <v>15</v>
      </c>
      <c r="D24" t="s">
        <v>53</v>
      </c>
      <c r="E24" t="s">
        <v>54</v>
      </c>
      <c r="F24">
        <v>0.97199999999999998</v>
      </c>
      <c r="G24">
        <f t="shared" si="0"/>
        <v>0.16800000000000001</v>
      </c>
      <c r="H24">
        <v>84</v>
      </c>
      <c r="I24">
        <v>500</v>
      </c>
    </row>
    <row r="25" spans="1:9" x14ac:dyDescent="0.2">
      <c r="A25" t="s">
        <v>65</v>
      </c>
      <c r="B25" t="s">
        <v>64</v>
      </c>
      <c r="C25" t="s">
        <v>15</v>
      </c>
      <c r="D25" t="s">
        <v>53</v>
      </c>
      <c r="E25" t="s">
        <v>54</v>
      </c>
      <c r="F25">
        <v>0.92400000000000004</v>
      </c>
      <c r="G25">
        <f t="shared" si="0"/>
        <v>0.114</v>
      </c>
      <c r="H25">
        <v>57</v>
      </c>
      <c r="I25">
        <v>500</v>
      </c>
    </row>
    <row r="26" spans="1:9" x14ac:dyDescent="0.2">
      <c r="A26" t="s">
        <v>40</v>
      </c>
      <c r="B26" t="s">
        <v>36</v>
      </c>
      <c r="C26" t="s">
        <v>15</v>
      </c>
      <c r="D26" t="s">
        <v>37</v>
      </c>
      <c r="E26" t="s">
        <v>38</v>
      </c>
      <c r="F26">
        <v>0.97399999999999998</v>
      </c>
      <c r="G26">
        <f t="shared" si="0"/>
        <v>0.52600000000000002</v>
      </c>
      <c r="H26">
        <v>263</v>
      </c>
      <c r="I26">
        <v>500</v>
      </c>
    </row>
    <row r="27" spans="1:9" x14ac:dyDescent="0.2">
      <c r="A27" t="s">
        <v>13</v>
      </c>
      <c r="B27" t="s">
        <v>14</v>
      </c>
      <c r="C27" t="s">
        <v>15</v>
      </c>
      <c r="D27" t="s">
        <v>12</v>
      </c>
      <c r="E27" t="s">
        <v>11</v>
      </c>
      <c r="F27">
        <v>0.628</v>
      </c>
      <c r="G27">
        <f t="shared" si="0"/>
        <v>0</v>
      </c>
      <c r="H27">
        <v>0</v>
      </c>
      <c r="I27">
        <v>500</v>
      </c>
    </row>
    <row r="28" spans="1:9" x14ac:dyDescent="0.2">
      <c r="A28" t="s">
        <v>45</v>
      </c>
      <c r="B28" t="s">
        <v>41</v>
      </c>
      <c r="C28" t="s">
        <v>15</v>
      </c>
      <c r="D28" t="s">
        <v>43</v>
      </c>
      <c r="E28" t="s">
        <v>42</v>
      </c>
      <c r="F28">
        <v>0.99199999999999999</v>
      </c>
      <c r="G28">
        <f t="shared" si="0"/>
        <v>0.63400000000000001</v>
      </c>
      <c r="H28">
        <v>317</v>
      </c>
      <c r="I28">
        <v>500</v>
      </c>
    </row>
    <row r="29" spans="1:9" x14ac:dyDescent="0.2">
      <c r="A29" t="s">
        <v>20</v>
      </c>
      <c r="B29" t="s">
        <v>17</v>
      </c>
      <c r="C29" t="s">
        <v>15</v>
      </c>
      <c r="D29" t="s">
        <v>18</v>
      </c>
      <c r="E29" t="s">
        <v>19</v>
      </c>
      <c r="F29">
        <v>1</v>
      </c>
      <c r="G29">
        <f t="shared" si="0"/>
        <v>0.26200000000000001</v>
      </c>
      <c r="H29">
        <v>131</v>
      </c>
      <c r="I29">
        <v>500</v>
      </c>
    </row>
    <row r="30" spans="1:9" x14ac:dyDescent="0.2">
      <c r="A30" t="s">
        <v>25</v>
      </c>
      <c r="B30" t="s">
        <v>22</v>
      </c>
      <c r="C30" t="s">
        <v>15</v>
      </c>
      <c r="D30" t="s">
        <v>24</v>
      </c>
      <c r="E30" t="s">
        <v>23</v>
      </c>
      <c r="F30">
        <v>0.82799999999999996</v>
      </c>
      <c r="G30">
        <f t="shared" si="0"/>
        <v>0</v>
      </c>
      <c r="H30">
        <v>0</v>
      </c>
      <c r="I30">
        <v>500</v>
      </c>
    </row>
    <row r="31" spans="1:9" x14ac:dyDescent="0.2">
      <c r="A31" t="s">
        <v>35</v>
      </c>
      <c r="B31" t="s">
        <v>31</v>
      </c>
      <c r="C31" t="s">
        <v>15</v>
      </c>
      <c r="D31" t="s">
        <v>32</v>
      </c>
      <c r="E31" t="s">
        <v>33</v>
      </c>
      <c r="F31">
        <v>1</v>
      </c>
      <c r="G31">
        <f t="shared" si="0"/>
        <v>0.91400000000000003</v>
      </c>
      <c r="H31">
        <v>457</v>
      </c>
      <c r="I31">
        <v>500</v>
      </c>
    </row>
    <row r="32" spans="1:9" x14ac:dyDescent="0.2">
      <c r="A32" t="s">
        <v>50</v>
      </c>
      <c r="B32" t="s">
        <v>46</v>
      </c>
      <c r="C32" t="s">
        <v>15</v>
      </c>
      <c r="D32" t="s">
        <v>47</v>
      </c>
      <c r="E32" t="s">
        <v>48</v>
      </c>
      <c r="F32">
        <v>0.56200000000000006</v>
      </c>
      <c r="G32">
        <f t="shared" si="0"/>
        <v>0.112</v>
      </c>
      <c r="H32">
        <v>56</v>
      </c>
      <c r="I32">
        <v>500</v>
      </c>
    </row>
    <row r="33" spans="1:9" x14ac:dyDescent="0.2">
      <c r="A33" t="s">
        <v>30</v>
      </c>
      <c r="B33" t="s">
        <v>27</v>
      </c>
      <c r="C33" t="s">
        <v>15</v>
      </c>
      <c r="D33" t="s">
        <v>28</v>
      </c>
      <c r="E33" t="s">
        <v>29</v>
      </c>
      <c r="F33">
        <v>0.61399999999999999</v>
      </c>
      <c r="G33">
        <f t="shared" si="0"/>
        <v>3.5999999999999997E-2</v>
      </c>
      <c r="H33">
        <v>18</v>
      </c>
      <c r="I33">
        <v>500</v>
      </c>
    </row>
    <row r="34" spans="1:9" x14ac:dyDescent="0.2">
      <c r="A34" t="s">
        <v>77</v>
      </c>
      <c r="B34" t="s">
        <v>67</v>
      </c>
      <c r="C34" t="s">
        <v>56</v>
      </c>
      <c r="D34" t="s">
        <v>54</v>
      </c>
      <c r="E34" t="s">
        <v>53</v>
      </c>
      <c r="F34">
        <v>0.88200000000000001</v>
      </c>
      <c r="G34">
        <f t="shared" si="0"/>
        <v>0.878</v>
      </c>
      <c r="H34">
        <v>439</v>
      </c>
      <c r="I34">
        <v>500</v>
      </c>
    </row>
    <row r="35" spans="1:9" x14ac:dyDescent="0.2">
      <c r="A35" t="s">
        <v>78</v>
      </c>
      <c r="B35" t="s">
        <v>67</v>
      </c>
      <c r="C35" t="s">
        <v>79</v>
      </c>
      <c r="D35" t="s">
        <v>54</v>
      </c>
      <c r="E35" t="s">
        <v>53</v>
      </c>
      <c r="F35">
        <v>0.70399999999999996</v>
      </c>
      <c r="G35">
        <f t="shared" si="0"/>
        <v>0.30599999999999999</v>
      </c>
      <c r="H35">
        <v>153</v>
      </c>
      <c r="I35">
        <v>500</v>
      </c>
    </row>
    <row r="36" spans="1:9" x14ac:dyDescent="0.2">
      <c r="A36" t="s">
        <v>80</v>
      </c>
      <c r="B36" t="s">
        <v>67</v>
      </c>
      <c r="C36" t="s">
        <v>81</v>
      </c>
      <c r="D36" t="s">
        <v>53</v>
      </c>
      <c r="E36" t="s">
        <v>54</v>
      </c>
      <c r="F36">
        <v>0.88600000000000001</v>
      </c>
      <c r="G36">
        <f t="shared" si="0"/>
        <v>1.6E-2</v>
      </c>
      <c r="H36">
        <v>8</v>
      </c>
      <c r="I36">
        <v>500</v>
      </c>
    </row>
  </sheetData>
  <sortState xmlns:xlrd2="http://schemas.microsoft.com/office/spreadsheetml/2017/richdata2" ref="A2:H35">
    <sortCondition ref="C2:C35"/>
    <sortCondition ref="B2:B35"/>
  </sortState>
  <conditionalFormatting sqref="F2:F36">
    <cfRule type="cellIs" dxfId="1" priority="1" operator="greaterThan">
      <formula>0.95</formula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Brownie summary table for supp_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2024-04-25T18:34:55Z</dcterms:created>
  <dcterms:modified xsi:type="dcterms:W3CDTF">2024-04-25T19:03:35Z</dcterms:modified>
</cp:coreProperties>
</file>